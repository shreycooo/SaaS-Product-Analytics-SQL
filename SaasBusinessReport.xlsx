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a/Desktop/"/>
    </mc:Choice>
  </mc:AlternateContent>
  <xr:revisionPtr revIDLastSave="0" documentId="8_{5ECF076E-3013-2B49-BB15-E8E66412F31F}" xr6:coauthVersionLast="47" xr6:coauthVersionMax="47" xr10:uidLastSave="{00000000-0000-0000-0000-000000000000}"/>
  <bookViews>
    <workbookView xWindow="0" yWindow="660" windowWidth="29400" windowHeight="17360" activeTab="3" xr2:uid="{05E96D2E-D413-EF42-B4FF-30DB0B9E9048}"/>
  </bookViews>
  <sheets>
    <sheet name="KPI Summary" sheetId="1" r:id="rId1"/>
    <sheet name="Revenue Analysis" sheetId="2" r:id="rId2"/>
    <sheet name="Customer Health Segmentation" sheetId="3" r:id="rId3"/>
    <sheet name="Churn Analysi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<sst xmlns="http://schemas.openxmlformats.org/spreadsheetml/2006/main" count="108" uniqueCount="87">
  <si>
    <t>Metric</t>
  </si>
  <si>
    <t>Value</t>
  </si>
  <si>
    <t>Total Subscriptions</t>
  </si>
  <si>
    <t>Total Revenue (MRR)</t>
  </si>
  <si>
    <t>Total Revenue (ARR)</t>
  </si>
  <si>
    <t>Churned Users</t>
  </si>
  <si>
    <t>Avg Stickiness Ratio</t>
  </si>
  <si>
    <t>Top Revenue Tier</t>
  </si>
  <si>
    <t>Enterprise</t>
  </si>
  <si>
    <t>Revenue by Subscription Tier</t>
  </si>
  <si>
    <t>Plan Tier</t>
  </si>
  <si>
    <t>Total MRR</t>
  </si>
  <si>
    <t>Basic</t>
  </si>
  <si>
    <t>Pro</t>
  </si>
  <si>
    <t>Month</t>
  </si>
  <si>
    <t>Monthly Active Users</t>
  </si>
  <si>
    <t>Avg Usage Minutes</t>
  </si>
  <si>
    <t>2024-08</t>
  </si>
  <si>
    <t>2024-09</t>
  </si>
  <si>
    <t>2024-10</t>
  </si>
  <si>
    <t>2024-11</t>
  </si>
  <si>
    <t>2024-12</t>
  </si>
  <si>
    <t>Customer Churn Analysis</t>
  </si>
  <si>
    <t>Account Status</t>
  </si>
  <si>
    <t>Avg Feature Usage</t>
  </si>
  <si>
    <t>Avg Error Count</t>
  </si>
  <si>
    <t>Active</t>
  </si>
  <si>
    <t>Churned</t>
  </si>
  <si>
    <t>Total Accounts</t>
  </si>
  <si>
    <t>Total  Subscriptions</t>
  </si>
  <si>
    <t>Churn Rate Percentage</t>
  </si>
  <si>
    <t>Paid Conversion Percentage</t>
  </si>
  <si>
    <t>Upgrade Revenue</t>
  </si>
  <si>
    <t>Downgrade Revenue</t>
  </si>
  <si>
    <t>Net Revenue Impact</t>
  </si>
  <si>
    <t>Low Usage</t>
  </si>
  <si>
    <t>No Errors</t>
  </si>
  <si>
    <t>Low Errors</t>
  </si>
  <si>
    <t>High Errors</t>
  </si>
  <si>
    <t>High Usage</t>
  </si>
  <si>
    <t>Medium Usage</t>
  </si>
  <si>
    <t>Usage Segment</t>
  </si>
  <si>
    <t>Error Segment</t>
  </si>
  <si>
    <t>Downgrades</t>
  </si>
  <si>
    <t>Total Users</t>
  </si>
  <si>
    <t>Upgardes</t>
  </si>
  <si>
    <t>Churns</t>
  </si>
  <si>
    <t>Customer Health Segmentation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</si>
  <si>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</si>
  <si>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</si>
  <si>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</si>
  <si>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</si>
  <si>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</si>
  <si>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</si>
  <si>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</si>
  <si>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</si>
  <si>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</si>
  <si>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</si>
  <si>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</si>
  <si>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</si>
  <si>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</si>
  <si>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</si>
  <si>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</si>
  <si>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</si>
  <si>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</si>
  <si>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</si>
  <si>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</si>
  <si>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Beta Users</t>
  </si>
  <si>
    <t>Non-Beta Users</t>
  </si>
  <si>
    <t>User Segment</t>
  </si>
  <si>
    <t xml:space="preserve"> Total Users</t>
  </si>
  <si>
    <t xml:space="preserve">Avg Feature Usage </t>
  </si>
  <si>
    <t>features</t>
  </si>
  <si>
    <t>support</t>
  </si>
  <si>
    <t>budget</t>
  </si>
  <si>
    <t>unknown</t>
  </si>
  <si>
    <t>competitor</t>
  </si>
  <si>
    <t>pricing</t>
  </si>
  <si>
    <t>Reason Code</t>
  </si>
  <si>
    <t>Total Churn Events</t>
  </si>
  <si>
    <t>Avg Refund Amount</t>
  </si>
  <si>
    <t xml:space="preserve">Total Subscriptions </t>
  </si>
  <si>
    <t>Churned Subscriptions</t>
  </si>
  <si>
    <t>Churn Rate</t>
  </si>
  <si>
    <t>Lost MRR</t>
  </si>
  <si>
    <t xml:space="preserve">Potential MRR Saved If Churn Reduced </t>
  </si>
  <si>
    <t xml:space="preserve">      SaaS Business Performance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</si>
</sst>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20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4"/>
      <color theme="0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American Typewriter"/>
      <family val="1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merican Typewriter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/>
    <xf numFmtId="0" fontId="4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/>
    <xf numFmtId="0" fontId="6" fillId="0" borderId="0" xfId="0" applyFont="1"/>
    <xf numFmtId="0" fontId="5" fillId="0" borderId="0" xfId="0" applyFont="1"/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" borderId="2" xfId="0" applyFont="1" applyFill="1" applyBorder="1"/>
    <xf numFmtId="0" fontId="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Subscription Tier</a:t>
            </a:r>
          </a:p>
        </c:rich>
      </c:tx>
      <c:layout>
        <c:manualLayout>
          <c:xMode val="edge"/>
          <c:yMode val="edge"/>
          <c:x val="0.2260279147349572"/>
          <c:y val="5.62060889929742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Analysis'!$B$4</c:f>
              <c:strCache>
                <c:ptCount val="1"/>
                <c:pt idx="0">
                  <c:v>Total Subscriptions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Analysis'!$A$5:$A$7</c:f>
              <c:strCache>
                <c:ptCount val="3"/>
                <c:pt idx="0">
                  <c:v>Enterprise</c:v>
                </c:pt>
                <c:pt idx="1">
                  <c:v>Pro</c:v>
                </c:pt>
                <c:pt idx="2">
                  <c:v>Basic</c:v>
                </c:pt>
              </c:strCache>
            </c:strRef>
          </c:cat>
          <c:val>
            <c:numRef>
              <c:f>'Revenue Analysis'!$B$5:$B$7</c:f>
              <c:numCache>
                <c:formatCode>General</c:formatCode>
                <c:ptCount val="3"/>
                <c:pt idx="0">
                  <c:v>1450</c:v>
                </c:pt>
                <c:pt idx="1">
                  <c:v>1416</c:v>
                </c:pt>
                <c:pt idx="2">
                  <c:v>1356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5-3846-86E3-68A9E3C61D17}"/>
            </c:ext>
          </c:extLst>
        </c:ser>
        <c:ser>
          <c:idx val="1"/>
          <c:order val="1"/>
          <c:tx>
            <c:strRef>
              <c:f>'Revenue Analysis'!$C$4</c:f>
              <c:strCache>
                <c:ptCount val="1"/>
                <c:pt idx="0">
                  <c:v>Total MRR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Analysis'!$A$5:$A$7</c:f>
              <c:strCache>
                <c:ptCount val="3"/>
                <c:pt idx="0">
                  <c:v>Enterprise</c:v>
                </c:pt>
                <c:pt idx="1">
                  <c:v>Pro</c:v>
                </c:pt>
                <c:pt idx="2">
                  <c:v>Basic</c:v>
                </c:pt>
              </c:strCache>
            </c:strRef>
          </c:cat>
          <c:val>
            <c:numRef>
              <c:f>'Revenue Analysis'!$C$5:$C$7</c:f>
              <c:numCache>
                <c:formatCode>General</c:formatCode>
                <c:ptCount val="3"/>
                <c:pt idx="0">
                  <c:v>8473221</c:v>
                </c:pt>
                <c:pt idx="1">
                  <c:v>2105089</c:v>
                </c:pt>
                <c:pt idx="2">
                  <c:v>760437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5-3846-86E3-68A9E3C61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5807168"/>
        <c:axId val="1145801344"/>
      </c:barChart>
      <c:catAx>
        <c:axId val="114580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01344"/>
        <c:crosses val="autoZero"/>
        <c:auto val="1"/>
        <c:lblAlgn val="ctr"/>
        <c:lblOffset val="100"/>
        <c:noMultiLvlLbl val="0"/>
      </c:catAx>
      <c:valAx>
        <c:axId val="11458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0716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92000">
          <a:schemeClr val="bg1"/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'Customer Health Segmentation'!$B$4</c:f>
              <c:strCache>
                <c:ptCount val="1"/>
                <c:pt idx="0">
                  <c:v>Monthly Active 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'Customer Health Segmentation'!$A$5:$A$28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'Customer Health Segmentation'!$B$5:$B$28</c:f>
              <c:numCache>
                <c:formatCode>General</c:formatCode>
                <c:ptCount val="24"/>
                <c:pt idx="0">
                  <c:v>440</c:v>
                </c:pt>
                <c:pt idx="1">
                  <c:v>412</c:v>
                </c:pt>
                <c:pt idx="2">
                  <c:v>431</c:v>
                </c:pt>
                <c:pt idx="3">
                  <c:v>432</c:v>
                </c:pt>
                <c:pt idx="4">
                  <c:v>438</c:v>
                </c:pt>
                <c:pt idx="5">
                  <c:v>420</c:v>
                </c:pt>
                <c:pt idx="6">
                  <c:v>415</c:v>
                </c:pt>
                <c:pt idx="7">
                  <c:v>426</c:v>
                </c:pt>
                <c:pt idx="8">
                  <c:v>409</c:v>
                </c:pt>
                <c:pt idx="9">
                  <c:v>426</c:v>
                </c:pt>
                <c:pt idx="10">
                  <c:v>412</c:v>
                </c:pt>
                <c:pt idx="11">
                  <c:v>431</c:v>
                </c:pt>
                <c:pt idx="12">
                  <c:v>426</c:v>
                </c:pt>
                <c:pt idx="13">
                  <c:v>422</c:v>
                </c:pt>
                <c:pt idx="14">
                  <c:v>430</c:v>
                </c:pt>
                <c:pt idx="15">
                  <c:v>428</c:v>
                </c:pt>
                <c:pt idx="16">
                  <c:v>427</c:v>
                </c:pt>
                <c:pt idx="17">
                  <c:v>416</c:v>
                </c:pt>
                <c:pt idx="18">
                  <c:v>431</c:v>
                </c:pt>
                <c:pt idx="19">
                  <c:v>422</c:v>
                </c:pt>
                <c:pt idx="20">
                  <c:v>415</c:v>
                </c:pt>
                <c:pt idx="21">
                  <c:v>435</c:v>
                </c:pt>
                <c:pt idx="22">
                  <c:v>410</c:v>
                </c:pt>
                <c:pt idx="23">
                  <c:v>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DB-8F42-BAC3-B85926E73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770368"/>
        <c:axId val="1146113984"/>
      </c:lineChart>
      <c:catAx>
        <c:axId val="114577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113984"/>
        <c:crosses val="autoZero"/>
        <c:auto val="1"/>
        <c:lblAlgn val="ctr"/>
        <c:lblOffset val="100"/>
        <c:noMultiLvlLbl val="0"/>
      </c:catAx>
      <c:valAx>
        <c:axId val="11461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77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2">
            <a:lumMod val="0"/>
            <a:lumOff val="100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Reducing Churn by 15%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Analysis'!$E$23</c:f>
              <c:strCache>
                <c:ptCount val="1"/>
                <c:pt idx="0">
                  <c:v>Lost MRR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Analysis'!$A$24:$A$26</c:f>
              <c:strCache>
                <c:ptCount val="3"/>
                <c:pt idx="0">
                  <c:v>Enterprise</c:v>
                </c:pt>
                <c:pt idx="1">
                  <c:v>Pro</c:v>
                </c:pt>
                <c:pt idx="2">
                  <c:v>Basic</c:v>
                </c:pt>
              </c:strCache>
            </c:strRef>
          </c:cat>
          <c:val>
            <c:numRef>
              <c:f>'Churn Analysis'!$E$24:$E$26</c:f>
              <c:numCache>
                <c:formatCode>General</c:formatCode>
                <c:ptCount val="3"/>
                <c:pt idx="0">
                  <c:v>926345</c:v>
                </c:pt>
                <c:pt idx="1">
                  <c:v>180271</c:v>
                </c:pt>
                <c:pt idx="2">
                  <c:v>72523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A-D543-95C3-5BE609614466}"/>
            </c:ext>
          </c:extLst>
        </c:ser>
        <c:ser>
          <c:idx val="1"/>
          <c:order val="1"/>
          <c:tx>
            <c:strRef>
              <c:f>'Churn Analysis'!$F$23</c:f>
              <c:strCache>
                <c:ptCount val="1"/>
                <c:pt idx="0">
                  <c:v>Potential MRR Saved If Churn Reduced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Analysis'!$A$24:$A$26</c:f>
              <c:strCache>
                <c:ptCount val="3"/>
                <c:pt idx="0">
                  <c:v>Enterprise</c:v>
                </c:pt>
                <c:pt idx="1">
                  <c:v>Pro</c:v>
                </c:pt>
                <c:pt idx="2">
                  <c:v>Basic</c:v>
                </c:pt>
              </c:strCache>
            </c:strRef>
          </c:cat>
          <c:val>
            <c:numRef>
              <c:f>'Churn Analysis'!$F$24:$F$26</c:f>
              <c:numCache>
                <c:formatCode>General</c:formatCode>
                <c:ptCount val="3"/>
                <c:pt idx="0">
                  <c:v>138951.75</c:v>
                </c:pt>
                <c:pt idx="1">
                  <c:v>27040.65</c:v>
                </c:pt>
                <c:pt idx="2">
                  <c:v>10878.45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EA-D543-95C3-5BE609614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7564224"/>
        <c:axId val="1167570496"/>
      </c:barChart>
      <c:catAx>
        <c:axId val="116756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70496"/>
        <c:crosses val="autoZero"/>
        <c:auto val="1"/>
        <c:lblAlgn val="ctr"/>
        <c:lblOffset val="100"/>
        <c:noMultiLvlLbl val="0"/>
      </c:catAx>
      <c:valAx>
        <c:axId val="11675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6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bg1">
            <a:lumMod val="0"/>
            <a:lumOff val="100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Account</a:t>
            </a:r>
            <a:r>
              <a:rPr lang="en-GB" baseline="0"/>
              <a:t>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'Churn Analysis'!$B$4</c:f>
              <c:strCache>
                <c:ptCount val="1"/>
                <c:pt idx="0">
                  <c:v>Total Subscriptions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'Churn Analysis'!$A$5:$A$6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'Churn Analysis'!$B$5:$B$6</c:f>
              <c:numCache>
                <c:formatCode>General</c:formatCode>
                <c:ptCount val="2"/>
                <c:pt idx="0">
                  <c:v>4514</c:v>
                </c:pt>
                <c:pt idx="1">
                  <c:v>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B-3F48-BDD9-094AC654E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622300</xdr:colOff>
      <xdr:row>18</xdr:row>
      <xdr:rowOff>0</xdr:rowOff>
    </xdr:from>
    <xdr:to>
      <xdr:col>3</xdr:col>
      <xdr:colOff>812800</xdr:colOff>
      <xdr:row>31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2CE3E-F5D1-87E2-AD46-9D30D04A5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12</xdr:row>
      <xdr:rowOff>190500</xdr:rowOff>
    </xdr:from>
    <xdr:to>
      <xdr:col>11</xdr:col>
      <xdr:colOff>431800</xdr:colOff>
      <xdr:row>28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9C8C01-D19C-7C33-7B06-C0AAF341B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44450</xdr:rowOff>
    </xdr:from>
    <xdr:to>
      <xdr:col>4</xdr:col>
      <xdr:colOff>723900</xdr:colOff>
      <xdr:row>39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17E77A-8F58-7ABD-7315-64AF1B414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431800</xdr:colOff>
      <xdr:row>2</xdr:row>
      <xdr:rowOff>190500</xdr:rowOff>
    </xdr:from>
    <xdr:to>
      <xdr:col>6</xdr:col>
      <xdr:colOff>419100</xdr:colOff>
      <xdr:row>16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DAEF00-D66C-9920-25D3-31FA25764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6E51-2D8E-AA4C-84BC-4749D1F7B2B5}">
  <dimension ref="A1:G10"/>
  <sheetViews>
    <sheetView workbookViewId="0">
      <selection activeCell="D13" sqref="D13"/>
    </sheetView>
  </sheetViews>
  <sheetFormatPr baseColWidth="10" defaultColWidth="22.5" defaultRowHeight="16" x14ac:dyDescent="0.2"/>
  <cols>
    <col min="1" max="1" width="18.1640625" bestFit="1" customWidth="1"/>
    <col min="2" max="2" width="13.1640625" bestFit="1" customWidth="1"/>
    <col min="3" max="3" width="28.1640625" customWidth="1"/>
  </cols>
  <sheetData>
    <row r="1" spans="1:7" ht="27" x14ac:dyDescent="0.2">
      <c r="A1" s="17" t="s">
        <v>86</v>
      </c>
      <c r="B1" s="17"/>
      <c r="C1" s="17"/>
      <c r="D1" s="16"/>
    </row>
    <row r="4" spans="1:7" x14ac:dyDescent="0.2">
      <c r="A4" s="4" t="s">
        <v>0</v>
      </c>
      <c r="B4" s="4" t="s">
        <v>1</v>
      </c>
    </row>
    <row r="5" spans="1:7" x14ac:dyDescent="0.2">
      <c r="A5" s="3" t="s">
        <v>2</v>
      </c>
      <c r="B5" s="11">
        <v>5000</v>
      </c>
      <c r="G5" s="5"/>
    </row>
    <row r="6" spans="1:7" x14ac:dyDescent="0.2">
      <c r="A6" s="3" t="s">
        <v>3</v>
      </c>
      <c r="B6" s="11">
        <v>11338747</v>
      </c>
    </row>
    <row r="7" spans="1:7" x14ac:dyDescent="0.2">
      <c r="A7" s="3" t="s">
        <v>4</v>
      </c>
      <c r="B7" s="11">
        <v>136064964</v>
      </c>
    </row>
    <row r="8" spans="1:7" x14ac:dyDescent="0.2">
      <c r="A8" s="3" t="s">
        <v>5</v>
      </c>
      <c r="B8" s="11">
        <v>486</v>
      </c>
    </row>
    <row r="9" spans="1:7" x14ac:dyDescent="0.2">
      <c r="A9" s="3" t="s">
        <v>6</v>
      </c>
      <c r="B9" s="11">
        <v>3.62</v>
      </c>
    </row>
    <row r="10" spans="1:7" x14ac:dyDescent="0.2">
      <c r="A10" s="3" t="s">
        <v>7</v>
      </c>
      <c r="B10" s="13" t="s">
        <v>8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6F88-944E-6547-98B3-72BB7C57E0ED}">
  <dimension ref="A1:E17"/>
  <sheetViews>
    <sheetView workbookViewId="0">
      <selection activeCell="H27" sqref="H27"/>
    </sheetView>
  </sheetViews>
  <sheetFormatPr baseColWidth="10" defaultRowHeight="16" x14ac:dyDescent="0.2"/>
  <cols>
    <col min="1" max="1" width="13.33203125" style="6" bestFit="1" customWidth="1"/>
    <col min="2" max="2" width="19.6640625" style="6" bestFit="1" customWidth="1"/>
    <col min="3" max="3" width="18" style="6" bestFit="1" customWidth="1"/>
    <col min="4" max="4" width="20.33203125" style="6" bestFit="1" customWidth="1"/>
    <col min="5" max="5" width="24.6640625" style="6" bestFit="1" customWidth="1"/>
    <col min="6" max="16384" width="10.83203125" style="6"/>
  </cols>
  <sheetData>
    <row r="1" spans="1:5" ht="27" x14ac:dyDescent="0.35">
      <c r="A1" s="18" t="s">
        <v>9</v>
      </c>
      <c r="B1" s="18"/>
      <c r="C1" s="18"/>
      <c r="D1" s="18"/>
    </row>
    <row r="4" spans="1:5" ht="19" x14ac:dyDescent="0.25">
      <c r="A4" s="2" t="s">
        <v>10</v>
      </c>
      <c r="B4" s="2" t="s">
        <v>2</v>
      </c>
      <c r="C4" s="2" t="s">
        <v>11</v>
      </c>
    </row>
    <row r="5" spans="1:5" x14ac:dyDescent="0.2">
      <c r="A5" s="3" t="s">
        <v>8</v>
      </c>
      <c r="B5" s="8">
        <v>1450</v>
      </c>
      <c r="C5" s="8">
        <v>8473221</v>
      </c>
    </row>
    <row r="6" spans="1:5" x14ac:dyDescent="0.2">
      <c r="A6" s="3" t="s">
        <v>13</v>
      </c>
      <c r="B6" s="8">
        <v>1416</v>
      </c>
      <c r="C6" s="8">
        <v>2105089</v>
      </c>
    </row>
    <row r="7" spans="1:5" x14ac:dyDescent="0.2">
      <c r="A7" s="3" t="s">
        <v>12</v>
      </c>
      <c r="B7" s="8">
        <v>1356</v>
      </c>
      <c r="C7" s="8">
        <v>760437</v>
      </c>
    </row>
    <row r="10" spans="1:5" x14ac:dyDescent="0.2">
      <c r="A10" s="1" t="s">
        <v>28</v>
      </c>
      <c r="B10" s="1" t="s">
        <v>29</v>
      </c>
      <c r="C10" s="1" t="s">
        <v>11</v>
      </c>
      <c r="D10" s="1" t="s">
        <v>30</v>
      </c>
      <c r="E10" s="1" t="s">
        <v>31</v>
      </c>
    </row>
    <row r="11" spans="1:5" x14ac:dyDescent="0.2">
      <c r="A11" s="8">
        <v>500</v>
      </c>
      <c r="B11" s="8">
        <v>5000</v>
      </c>
      <c r="C11" s="8">
        <v>11338747</v>
      </c>
      <c r="D11" s="8">
        <v>9.7200000000000006</v>
      </c>
      <c r="E11" s="8">
        <v>84.44</v>
      </c>
    </row>
    <row r="14" spans="1:5" x14ac:dyDescent="0.2">
      <c r="A14" s="4" t="s">
        <v>10</v>
      </c>
      <c r="B14" s="4" t="s">
        <v>32</v>
      </c>
      <c r="C14" s="4" t="s">
        <v>33</v>
      </c>
      <c r="D14" s="4" t="s">
        <v>34</v>
      </c>
    </row>
    <row r="15" spans="1:5" x14ac:dyDescent="0.2">
      <c r="A15" s="7" t="s">
        <v>8</v>
      </c>
      <c r="B15" s="8">
        <v>921768</v>
      </c>
      <c r="C15" s="8">
        <v>318002</v>
      </c>
      <c r="D15" s="8">
        <v>630233</v>
      </c>
    </row>
    <row r="16" spans="1:5" x14ac:dyDescent="0.2">
      <c r="A16" s="7" t="s">
        <v>13</v>
      </c>
      <c r="B16" s="8">
        <v>281113</v>
      </c>
      <c r="C16" s="8">
        <v>114023</v>
      </c>
      <c r="D16" s="8">
        <v>178017</v>
      </c>
    </row>
    <row r="17" spans="1:4" x14ac:dyDescent="0.2">
      <c r="A17" s="7" t="s">
        <v>12</v>
      </c>
      <c r="B17" s="8">
        <v>60116</v>
      </c>
      <c r="C17" s="8">
        <v>27341</v>
      </c>
      <c r="D17" s="8">
        <v>35815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D39A-EB95-EA4C-A317-6A0DF4A147FF}">
  <dimension ref="A1:J28"/>
  <sheetViews>
    <sheetView workbookViewId="0">
      <selection activeCell="P23" sqref="P23"/>
    </sheetView>
  </sheetViews>
  <sheetFormatPr baseColWidth="10" defaultRowHeight="16" x14ac:dyDescent="0.2"/>
  <cols>
    <col min="1" max="1" width="9.83203125" bestFit="1" customWidth="1"/>
    <col min="2" max="2" width="18.5" bestFit="1" customWidth="1"/>
    <col min="3" max="3" width="16.83203125" bestFit="1" customWidth="1"/>
    <col min="5" max="5" width="14" bestFit="1" customWidth="1"/>
    <col min="6" max="6" width="12.83203125" bestFit="1" customWidth="1"/>
    <col min="7" max="7" width="10.33203125" bestFit="1" customWidth="1"/>
    <col min="8" max="8" width="9" bestFit="1" customWidth="1"/>
    <col min="9" max="9" width="11.5" bestFit="1" customWidth="1"/>
    <col min="10" max="10" width="7.1640625" bestFit="1" customWidth="1"/>
  </cols>
  <sheetData>
    <row r="1" spans="1:10" ht="27" x14ac:dyDescent="0.35">
      <c r="A1" s="18" t="s">
        <v>47</v>
      </c>
      <c r="B1" s="18"/>
      <c r="C1" s="18"/>
      <c r="D1" s="18"/>
    </row>
    <row r="4" spans="1:10" x14ac:dyDescent="0.2">
      <c r="A4" s="4" t="s">
        <v>14</v>
      </c>
      <c r="B4" s="4" t="s">
        <v>15</v>
      </c>
      <c r="C4" s="4" t="s">
        <v>16</v>
      </c>
      <c r="E4" s="4" t="s">
        <v>41</v>
      </c>
      <c r="F4" s="4" t="s">
        <v>42</v>
      </c>
      <c r="G4" s="4" t="s">
        <v>44</v>
      </c>
      <c r="H4" s="4" t="s">
        <v>45</v>
      </c>
      <c r="I4" s="4" t="s">
        <v>43</v>
      </c>
      <c r="J4" s="4" t="s">
        <v>46</v>
      </c>
    </row>
    <row r="5" spans="1:10" x14ac:dyDescent="0.2">
      <c r="A5" s="10" t="s">
        <v>48</v>
      </c>
      <c r="B5" s="11">
        <v>440</v>
      </c>
      <c r="C5" s="12">
        <v>52.47</v>
      </c>
      <c r="E5" s="7" t="s">
        <v>35</v>
      </c>
      <c r="F5" s="7" t="s">
        <v>36</v>
      </c>
      <c r="G5" s="8">
        <v>4848</v>
      </c>
      <c r="H5" s="8">
        <v>1873</v>
      </c>
      <c r="I5" s="8">
        <v>739</v>
      </c>
      <c r="J5" s="8">
        <v>1626</v>
      </c>
    </row>
    <row r="6" spans="1:10" x14ac:dyDescent="0.2">
      <c r="A6" s="10" t="s">
        <v>49</v>
      </c>
      <c r="B6" s="11">
        <v>412</v>
      </c>
      <c r="C6" s="12">
        <v>49.25</v>
      </c>
      <c r="E6" s="7" t="s">
        <v>35</v>
      </c>
      <c r="F6" s="7" t="s">
        <v>37</v>
      </c>
      <c r="G6" s="8">
        <v>3786</v>
      </c>
      <c r="H6" s="8">
        <v>741</v>
      </c>
      <c r="I6" s="8">
        <v>321</v>
      </c>
      <c r="J6" s="8">
        <v>686</v>
      </c>
    </row>
    <row r="7" spans="1:10" x14ac:dyDescent="0.2">
      <c r="A7" s="10" t="s">
        <v>50</v>
      </c>
      <c r="B7" s="11">
        <v>431</v>
      </c>
      <c r="C7" s="12">
        <v>50.7</v>
      </c>
      <c r="E7" s="7" t="s">
        <v>35</v>
      </c>
      <c r="F7" s="7" t="s">
        <v>38</v>
      </c>
      <c r="G7" s="8">
        <v>535</v>
      </c>
      <c r="H7" s="8">
        <v>55</v>
      </c>
      <c r="I7" s="8">
        <v>36</v>
      </c>
      <c r="J7" s="8">
        <v>58</v>
      </c>
    </row>
    <row r="8" spans="1:10" x14ac:dyDescent="0.2">
      <c r="A8" s="10" t="s">
        <v>51</v>
      </c>
      <c r="B8" s="11">
        <v>432</v>
      </c>
      <c r="C8" s="12">
        <v>52.88</v>
      </c>
      <c r="E8" s="7" t="s">
        <v>39</v>
      </c>
      <c r="F8" s="7" t="s">
        <v>38</v>
      </c>
      <c r="G8" s="8">
        <v>33</v>
      </c>
      <c r="H8" s="8">
        <v>4</v>
      </c>
      <c r="I8" s="8">
        <v>2</v>
      </c>
      <c r="J8" s="8">
        <v>3</v>
      </c>
    </row>
    <row r="9" spans="1:10" x14ac:dyDescent="0.2">
      <c r="A9" s="10" t="s">
        <v>52</v>
      </c>
      <c r="B9" s="11">
        <v>438</v>
      </c>
      <c r="C9" s="12">
        <v>50.04</v>
      </c>
      <c r="E9" s="7" t="s">
        <v>40</v>
      </c>
      <c r="F9" s="7" t="s">
        <v>36</v>
      </c>
      <c r="G9" s="8">
        <v>34</v>
      </c>
      <c r="H9" s="8">
        <v>3</v>
      </c>
      <c r="I9" s="8">
        <v>2</v>
      </c>
      <c r="J9" s="8">
        <v>1</v>
      </c>
    </row>
    <row r="10" spans="1:10" x14ac:dyDescent="0.2">
      <c r="A10" s="10" t="s">
        <v>53</v>
      </c>
      <c r="B10" s="11">
        <v>420</v>
      </c>
      <c r="C10" s="12">
        <v>50.18</v>
      </c>
      <c r="E10" s="7" t="s">
        <v>40</v>
      </c>
      <c r="F10" s="7" t="s">
        <v>37</v>
      </c>
      <c r="G10" s="8">
        <v>10</v>
      </c>
      <c r="H10" s="8">
        <v>1</v>
      </c>
      <c r="I10" s="8">
        <v>0</v>
      </c>
      <c r="J10" s="8">
        <v>2</v>
      </c>
    </row>
    <row r="11" spans="1:10" x14ac:dyDescent="0.2">
      <c r="A11" s="10" t="s">
        <v>54</v>
      </c>
      <c r="B11" s="11">
        <v>415</v>
      </c>
      <c r="C11" s="12">
        <v>51.1</v>
      </c>
      <c r="E11" s="7" t="s">
        <v>40</v>
      </c>
      <c r="F11" s="7" t="s">
        <v>38</v>
      </c>
      <c r="G11" s="8">
        <v>2</v>
      </c>
      <c r="H11" s="8">
        <v>0</v>
      </c>
      <c r="I11" s="8">
        <v>0</v>
      </c>
      <c r="J11" s="8">
        <v>0</v>
      </c>
    </row>
    <row r="12" spans="1:10" x14ac:dyDescent="0.2">
      <c r="A12" s="10" t="s">
        <v>55</v>
      </c>
      <c r="B12" s="11">
        <v>426</v>
      </c>
      <c r="C12" s="12">
        <v>50.2</v>
      </c>
    </row>
    <row r="13" spans="1:10" x14ac:dyDescent="0.2">
      <c r="A13" s="10" t="s">
        <v>56</v>
      </c>
      <c r="B13" s="11">
        <v>409</v>
      </c>
      <c r="C13" s="12">
        <v>50.9</v>
      </c>
    </row>
    <row r="14" spans="1:10" x14ac:dyDescent="0.2">
      <c r="A14" s="10" t="s">
        <v>57</v>
      </c>
      <c r="B14" s="11">
        <v>426</v>
      </c>
      <c r="C14" s="12">
        <v>51.1</v>
      </c>
    </row>
    <row r="15" spans="1:10" x14ac:dyDescent="0.2">
      <c r="A15" s="10" t="s">
        <v>58</v>
      </c>
      <c r="B15" s="11">
        <v>412</v>
      </c>
      <c r="C15" s="12">
        <v>52.06</v>
      </c>
    </row>
    <row r="16" spans="1:10" x14ac:dyDescent="0.2">
      <c r="A16" s="10" t="s">
        <v>59</v>
      </c>
      <c r="B16" s="11">
        <v>431</v>
      </c>
      <c r="C16" s="12">
        <v>51.04</v>
      </c>
    </row>
    <row r="17" spans="1:3" x14ac:dyDescent="0.2">
      <c r="A17" s="10" t="s">
        <v>60</v>
      </c>
      <c r="B17" s="11">
        <v>426</v>
      </c>
      <c r="C17" s="12">
        <v>51.23</v>
      </c>
    </row>
    <row r="18" spans="1:3" x14ac:dyDescent="0.2">
      <c r="A18" s="10" t="s">
        <v>61</v>
      </c>
      <c r="B18" s="11">
        <v>422</v>
      </c>
      <c r="C18" s="12">
        <v>49.7</v>
      </c>
    </row>
    <row r="19" spans="1:3" x14ac:dyDescent="0.2">
      <c r="A19" s="10" t="s">
        <v>62</v>
      </c>
      <c r="B19" s="11">
        <v>430</v>
      </c>
      <c r="C19" s="12">
        <v>50.43</v>
      </c>
    </row>
    <row r="20" spans="1:3" x14ac:dyDescent="0.2">
      <c r="A20" s="10" t="s">
        <v>63</v>
      </c>
      <c r="B20" s="11">
        <v>428</v>
      </c>
      <c r="C20" s="12">
        <v>50.48</v>
      </c>
    </row>
    <row r="21" spans="1:3" x14ac:dyDescent="0.2">
      <c r="A21" s="10" t="s">
        <v>64</v>
      </c>
      <c r="B21" s="11">
        <v>427</v>
      </c>
      <c r="C21" s="12">
        <v>51.12</v>
      </c>
    </row>
    <row r="22" spans="1:3" x14ac:dyDescent="0.2">
      <c r="A22" s="10" t="s">
        <v>65</v>
      </c>
      <c r="B22" s="11">
        <v>416</v>
      </c>
      <c r="C22" s="12">
        <v>51.76</v>
      </c>
    </row>
    <row r="23" spans="1:3" x14ac:dyDescent="0.2">
      <c r="A23" s="10" t="s">
        <v>66</v>
      </c>
      <c r="B23" s="11">
        <v>431</v>
      </c>
      <c r="C23" s="12">
        <v>51.12</v>
      </c>
    </row>
    <row r="24" spans="1:3" x14ac:dyDescent="0.2">
      <c r="A24" s="10" t="s">
        <v>17</v>
      </c>
      <c r="B24" s="11">
        <v>422</v>
      </c>
      <c r="C24" s="12">
        <v>48.79</v>
      </c>
    </row>
    <row r="25" spans="1:3" x14ac:dyDescent="0.2">
      <c r="A25" s="10" t="s">
        <v>18</v>
      </c>
      <c r="B25" s="11">
        <v>415</v>
      </c>
      <c r="C25" s="12">
        <v>50.1</v>
      </c>
    </row>
    <row r="26" spans="1:3" x14ac:dyDescent="0.2">
      <c r="A26" s="10" t="s">
        <v>19</v>
      </c>
      <c r="B26" s="11">
        <v>435</v>
      </c>
      <c r="C26" s="12">
        <v>48.97</v>
      </c>
    </row>
    <row r="27" spans="1:3" x14ac:dyDescent="0.2">
      <c r="A27" s="10" t="s">
        <v>20</v>
      </c>
      <c r="B27" s="11">
        <v>410</v>
      </c>
      <c r="C27" s="12">
        <v>52.23</v>
      </c>
    </row>
    <row r="28" spans="1:3" x14ac:dyDescent="0.2">
      <c r="A28" s="10" t="s">
        <v>21</v>
      </c>
      <c r="B28" s="11">
        <v>428</v>
      </c>
      <c r="C28" s="12">
        <v>49.32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9D83-F639-D64B-9EC5-40B2831D4288}">
  <dimension ref="A1:F26"/>
  <sheetViews>
    <sheetView tabSelected="1" topLeftCell="A5" workbookViewId="0">
      <selection activeCell="I36" sqref="I36"/>
    </sheetView>
  </sheetViews>
  <sheetFormatPr baseColWidth="10" defaultRowHeight="16" x14ac:dyDescent="0.2"/>
  <cols>
    <col min="1" max="1" width="14.1640625" style="6" bestFit="1" customWidth="1"/>
    <col min="2" max="2" width="17.33203125" style="6" bestFit="1" customWidth="1"/>
    <col min="3" max="3" width="20" style="6" bestFit="1" customWidth="1"/>
    <col min="4" max="4" width="13.83203125" style="6" bestFit="1" customWidth="1"/>
    <col min="5" max="5" width="9" style="6" bestFit="1" customWidth="1"/>
    <col min="6" max="6" width="33.33203125" style="6" bestFit="1" customWidth="1"/>
    <col min="7" max="16384" width="10.83203125" style="6"/>
  </cols>
  <sheetData>
    <row r="1" spans="1:4" ht="27" x14ac:dyDescent="0.35">
      <c r="A1" s="18" t="s">
        <v>22</v>
      </c>
      <c r="B1" s="18"/>
      <c r="C1" s="18"/>
    </row>
    <row r="4" spans="1:4" x14ac:dyDescent="0.2">
      <c r="A4" s="4" t="s">
        <v>23</v>
      </c>
      <c r="B4" s="4" t="s">
        <v>2</v>
      </c>
      <c r="C4" s="4" t="s">
        <v>24</v>
      </c>
      <c r="D4" s="4" t="s">
        <v>25</v>
      </c>
    </row>
    <row r="5" spans="1:4" x14ac:dyDescent="0.2">
      <c r="A5" s="3" t="s">
        <v>26</v>
      </c>
      <c r="B5" s="9">
        <v>4514</v>
      </c>
      <c r="C5" s="9">
        <v>10.02</v>
      </c>
      <c r="D5" s="9">
        <v>0.56000000000000005</v>
      </c>
    </row>
    <row r="6" spans="1:4" x14ac:dyDescent="0.2">
      <c r="A6" s="3" t="s">
        <v>27</v>
      </c>
      <c r="B6" s="9">
        <v>486</v>
      </c>
      <c r="C6" s="9">
        <v>10.029999999999999</v>
      </c>
      <c r="D6" s="9">
        <v>0.56999999999999995</v>
      </c>
    </row>
    <row r="9" spans="1:4" x14ac:dyDescent="0.2">
      <c r="A9" s="4" t="s">
        <v>69</v>
      </c>
      <c r="B9" s="4" t="s">
        <v>70</v>
      </c>
      <c r="C9" s="4" t="s">
        <v>71</v>
      </c>
      <c r="D9" s="4" t="s">
        <v>5</v>
      </c>
    </row>
    <row r="10" spans="1:4" x14ac:dyDescent="0.2">
      <c r="A10" s="7" t="s">
        <v>67</v>
      </c>
      <c r="B10" s="9">
        <v>2023</v>
      </c>
      <c r="C10" s="9">
        <v>10.06</v>
      </c>
      <c r="D10" s="9">
        <v>240</v>
      </c>
    </row>
    <row r="11" spans="1:4" x14ac:dyDescent="0.2">
      <c r="A11" s="7" t="s">
        <v>68</v>
      </c>
      <c r="B11" s="9">
        <v>4946</v>
      </c>
      <c r="C11" s="9">
        <v>10.02</v>
      </c>
      <c r="D11" s="9">
        <v>2133</v>
      </c>
    </row>
    <row r="14" spans="1:4" x14ac:dyDescent="0.2">
      <c r="A14" s="4" t="s">
        <v>78</v>
      </c>
      <c r="B14" s="4" t="s">
        <v>79</v>
      </c>
      <c r="C14" s="4" t="s">
        <v>80</v>
      </c>
    </row>
    <row r="15" spans="1:4" x14ac:dyDescent="0.2">
      <c r="A15" s="7" t="s">
        <v>72</v>
      </c>
      <c r="B15" s="9">
        <v>114</v>
      </c>
      <c r="C15" s="9">
        <v>16.72</v>
      </c>
    </row>
    <row r="16" spans="1:4" x14ac:dyDescent="0.2">
      <c r="A16" s="7" t="s">
        <v>73</v>
      </c>
      <c r="B16" s="9">
        <v>104</v>
      </c>
      <c r="C16" s="9">
        <v>11.73</v>
      </c>
    </row>
    <row r="17" spans="1:6" x14ac:dyDescent="0.2">
      <c r="A17" s="7" t="s">
        <v>74</v>
      </c>
      <c r="B17" s="9">
        <v>104</v>
      </c>
      <c r="C17" s="9">
        <v>12</v>
      </c>
    </row>
    <row r="18" spans="1:6" x14ac:dyDescent="0.2">
      <c r="A18" s="7" t="s">
        <v>75</v>
      </c>
      <c r="B18" s="9">
        <v>95</v>
      </c>
      <c r="C18" s="9">
        <v>18.34</v>
      </c>
    </row>
    <row r="19" spans="1:6" x14ac:dyDescent="0.2">
      <c r="A19" s="7" t="s">
        <v>76</v>
      </c>
      <c r="B19" s="9">
        <v>92</v>
      </c>
      <c r="C19" s="9">
        <v>13.08</v>
      </c>
    </row>
    <row r="20" spans="1:6" x14ac:dyDescent="0.2">
      <c r="A20" s="7" t="s">
        <v>77</v>
      </c>
      <c r="B20" s="9">
        <v>91</v>
      </c>
      <c r="C20" s="9">
        <v>14.65</v>
      </c>
    </row>
    <row r="23" spans="1:6" x14ac:dyDescent="0.2">
      <c r="A23" s="4" t="s">
        <v>10</v>
      </c>
      <c r="B23" s="4" t="s">
        <v>81</v>
      </c>
      <c r="C23" s="4" t="s">
        <v>82</v>
      </c>
      <c r="D23" s="4" t="s">
        <v>83</v>
      </c>
      <c r="E23" s="4" t="s">
        <v>84</v>
      </c>
      <c r="F23" s="14" t="s">
        <v>85</v>
      </c>
    </row>
    <row r="24" spans="1:6" x14ac:dyDescent="0.2">
      <c r="A24" s="7" t="s">
        <v>8</v>
      </c>
      <c r="B24" s="9">
        <v>1723</v>
      </c>
      <c r="C24" s="9">
        <v>172</v>
      </c>
      <c r="D24" s="9">
        <v>9.98</v>
      </c>
      <c r="E24" s="9">
        <v>926345</v>
      </c>
      <c r="F24" s="15">
        <v>138951.75</v>
      </c>
    </row>
    <row r="25" spans="1:6" x14ac:dyDescent="0.2">
      <c r="A25" s="7" t="s">
        <v>13</v>
      </c>
      <c r="B25" s="9">
        <v>1675</v>
      </c>
      <c r="C25" s="9">
        <v>162</v>
      </c>
      <c r="D25" s="9">
        <v>9.67</v>
      </c>
      <c r="E25" s="9">
        <v>180271</v>
      </c>
      <c r="F25" s="15">
        <v>27040.65</v>
      </c>
    </row>
    <row r="26" spans="1:6" x14ac:dyDescent="0.2">
      <c r="A26" s="7" t="s">
        <v>12</v>
      </c>
      <c r="B26" s="9">
        <v>1602</v>
      </c>
      <c r="C26" s="9">
        <v>152</v>
      </c>
      <c r="D26" s="9">
        <v>9.49</v>
      </c>
      <c r="E26" s="9">
        <v>72523</v>
      </c>
      <c r="F26" s="15">
        <v>10878.45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Summary</vt:lpstr>
      <vt:lpstr>Revenue Analysis</vt:lpstr>
      <vt:lpstr>Customer Health Segmentation</vt:lpstr>
      <vt:lpstr>Churn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chauhan shreya sanjeev singh</dc:creator>
  <cp:lastModifiedBy>chauhan shreya sanjeev singh</cp:lastModifiedBy>
  <dcterms:created xsi:type="dcterms:W3CDTF">2026-05-14T17:07:29Z</dcterms:created>
  <dcterms:modified xsi:type="dcterms:W3CDTF">2026-05-14T21:01:43Z</dcterms:modified>
</cp:coreProperties>
</file>